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Obsidian\Meu_primeiro\Atividade extracurricular\Excel - DIO\"/>
    </mc:Choice>
  </mc:AlternateContent>
  <xr:revisionPtr revIDLastSave="0" documentId="8_{9CE05779-1104-426F-B21F-48F7F762446C}" xr6:coauthVersionLast="47" xr6:coauthVersionMax="47" xr10:uidLastSave="{00000000-0000-0000-0000-000000000000}"/>
  <bookViews>
    <workbookView xWindow="-120" yWindow="-120" windowWidth="20640" windowHeight="11040" xr2:uid="{279DCC3E-897A-4C8D-BB9F-6FF0F56B8894}"/>
  </bookViews>
  <sheets>
    <sheet name="Titular" sheetId="1" r:id="rId1"/>
    <sheet name="INFORMES" sheetId="2" r:id="rId2"/>
    <sheet name="NOTAS" sheetId="3" r:id="rId3"/>
    <sheet name="Planilha4" sheetId="4" state="hidden" r:id="rId4"/>
  </sheets>
  <definedNames>
    <definedName name="bancos">Planilha4!$A$2:$A$25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<sst xmlns="http://schemas.openxmlformats.org/spreadsheetml/2006/main" count="72" uniqueCount="61">
  <si>
    <t>Nome:</t>
  </si>
  <si>
    <t>CPF:</t>
  </si>
  <si>
    <t>Nascimento:</t>
  </si>
  <si>
    <t>Títullo de Eleitor</t>
  </si>
  <si>
    <t>Cônjugue</t>
  </si>
  <si>
    <t>Rua:</t>
  </si>
  <si>
    <t>Rua abreviada:</t>
  </si>
  <si>
    <t>CEP:</t>
  </si>
  <si>
    <t>Telefone:</t>
  </si>
  <si>
    <t>E-mail</t>
  </si>
  <si>
    <t>Houve alterações da entrega anterior?</t>
  </si>
  <si>
    <t>Dependente cônjugue?</t>
  </si>
  <si>
    <t>1.Dados do Titular.</t>
  </si>
  <si>
    <t>Preencha abaixo os dados pessoais.</t>
  </si>
  <si>
    <t>Residente do Exterior?</t>
  </si>
  <si>
    <t>Não</t>
  </si>
  <si>
    <t>Celular:</t>
  </si>
  <si>
    <t>2.Informes de dados bancários.</t>
  </si>
  <si>
    <t>Preencha com seus dados atuais de cada banco.</t>
  </si>
  <si>
    <t>Valor atual:</t>
  </si>
  <si>
    <t>Anexo 🖇️</t>
  </si>
  <si>
    <t>001: Banco do Brasil S.A.</t>
  </si>
  <si>
    <t>033: Banco Santander (Brasil) S.A.</t>
  </si>
  <si>
    <t>070: BRB - Banco de Brasília</t>
  </si>
  <si>
    <t>074: Banco J. Safra S.A.</t>
  </si>
  <si>
    <t>077: Banco Inter S.A.</t>
  </si>
  <si>
    <t>104: Caixa Econômica Federal</t>
  </si>
  <si>
    <t>197: Stone Pagamentos S.A. (Bancos Digital)</t>
  </si>
  <si>
    <t>212: Banco Original S.A.</t>
  </si>
  <si>
    <t>237: Banco Bradesco S.A.</t>
  </si>
  <si>
    <t>260: Nu Pagamentos S.A. (Nubank)</t>
  </si>
  <si>
    <t>341: Itaú Unibanco S.A.</t>
  </si>
  <si>
    <t>403: Cora SCD (Banco Cora)</t>
  </si>
  <si>
    <t>422: Banco Safra S.A.</t>
  </si>
  <si>
    <t>633: Banco Rendimento S.A.</t>
  </si>
  <si>
    <t>654: Banco A.J.Renner S.A.</t>
  </si>
  <si>
    <t>735: Banco Pottencial S.A.</t>
  </si>
  <si>
    <t>745: Citibank N.A.</t>
  </si>
  <si>
    <t>748: Banco Cooperativo Sicredi S.A.</t>
  </si>
  <si>
    <t>752: Banco BNP Paribas Brasil S.A.</t>
  </si>
  <si>
    <t>M06: Banco de Lage Landen Brasil S.A. </t>
  </si>
  <si>
    <t>Bancos Digitais e Fintechs:</t>
  </si>
  <si>
    <t>260: Nubank</t>
  </si>
  <si>
    <t>077: Inter</t>
  </si>
  <si>
    <t>335: Banco Digio</t>
  </si>
  <si>
    <t>218: Banco BS2 S.A. </t>
  </si>
  <si>
    <t>Banco-1:</t>
  </si>
  <si>
    <t>Banco-2:</t>
  </si>
  <si>
    <t>Banco-3:</t>
  </si>
  <si>
    <t>Total:</t>
  </si>
  <si>
    <t>3.Informe notas bancárias ou extratos de holerites.</t>
  </si>
  <si>
    <t>Insira todos os valores de receitas mensais.</t>
  </si>
  <si>
    <t>Data:</t>
  </si>
  <si>
    <t>Valor:</t>
  </si>
  <si>
    <t>Categoria:</t>
  </si>
  <si>
    <t>Entradas</t>
  </si>
  <si>
    <t>Holerite</t>
  </si>
  <si>
    <t>CNPJ</t>
  </si>
  <si>
    <t>R. 29</t>
  </si>
  <si>
    <t>Urso Panda</t>
  </si>
  <si>
    <t>panda_panda_mail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</si>
</sst>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&quot;/&quot;00&quot;/&quot;0000"/>
    <numFmt numFmtId="166" formatCode="00000\-000"/>
    <numFmt numFmtId="167" formatCode="&quot;(&quot;00&quot;)&quot;0&quot;-&quot;0000&quot;-&quot;0000"/>
    <numFmt numFmtId="168" formatCode="&quot;R$&quot;\ #,##0.0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theme="1"/>
      <name val="Segoe UI"/>
      <family val="2"/>
    </font>
    <font>
      <b/>
      <sz val="16"/>
      <color theme="3"/>
      <name val="Segoe UI"/>
      <family val="2"/>
    </font>
    <font>
      <b/>
      <sz val="16"/>
      <color theme="8" tint="-0.249977111117893"/>
      <name val="Segoe UI"/>
      <family val="2"/>
    </font>
    <font>
      <i/>
      <sz val="11"/>
      <color theme="8" tint="-0.499984740745262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sz val="11"/>
      <color theme="1" tint="0.34998626667073579"/>
      <name val="Segoe UI"/>
      <family val="2"/>
    </font>
    <font>
      <b/>
      <sz val="11"/>
      <color theme="5" tint="-0.249977111117893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b/>
      <sz val="11"/>
      <color theme="1" tint="0.34998626667073579"/>
      <name val="Segoe UI"/>
      <family val="2"/>
    </font>
    <font>
      <sz val="11"/>
      <color theme="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CF19E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26">
    <xf numFmtId="0" fontId="0" fillId="0" borderId="0" xfId="0"/>
    <xf numFmtId="0" fontId="0" fillId="2" borderId="2" xfId="0" applyFill="1" applyBorder="1"/>
    <xf numFmtId="0" fontId="3" fillId="0" borderId="2" xfId="0" applyFont="1" applyBorder="1" applyAlignment="1">
      <alignment horizontal="right"/>
    </xf>
    <xf numFmtId="0" fontId="5" fillId="0" borderId="3" xfId="2" applyFont="1" applyBorder="1"/>
    <xf numFmtId="0" fontId="4" fillId="0" borderId="3" xfId="2" applyFont="1" applyBorder="1"/>
    <xf numFmtId="164" fontId="0" fillId="2" borderId="2" xfId="0" applyNumberFormat="1" applyFill="1" applyBorder="1" applyAlignment="1">
      <alignment horizontal="left"/>
    </xf>
    <xf numFmtId="165" fontId="0" fillId="2" borderId="2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167" fontId="0" fillId="2" borderId="2" xfId="0" applyNumberFormat="1" applyFill="1" applyBorder="1" applyAlignment="1">
      <alignment horizontal="left"/>
    </xf>
    <xf numFmtId="0" fontId="7" fillId="5" borderId="0" xfId="0" applyFont="1" applyFill="1" applyAlignment="1">
      <alignment horizontal="center"/>
    </xf>
    <xf numFmtId="0" fontId="8" fillId="0" borderId="0" xfId="0" applyFont="1"/>
    <xf numFmtId="0" fontId="10" fillId="2" borderId="2" xfId="0" applyFont="1" applyFill="1" applyBorder="1"/>
    <xf numFmtId="168" fontId="10" fillId="2" borderId="2" xfId="1" applyNumberFormat="1" applyFont="1" applyFill="1" applyBorder="1" applyAlignment="1">
      <alignment horizontal="left"/>
    </xf>
    <xf numFmtId="49" fontId="10" fillId="2" borderId="2" xfId="0" applyNumberFormat="1" applyFont="1" applyFill="1" applyBorder="1" applyAlignment="1">
      <alignment horizontal="left"/>
    </xf>
    <xf numFmtId="0" fontId="11" fillId="0" borderId="0" xfId="0" applyFont="1"/>
    <xf numFmtId="0" fontId="2" fillId="0" borderId="3" xfId="2" applyBorder="1"/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left" vertical="center" indent="3"/>
    </xf>
    <xf numFmtId="168" fontId="9" fillId="2" borderId="5" xfId="0" applyNumberFormat="1" applyFont="1" applyFill="1" applyBorder="1" applyAlignment="1">
      <alignment horizontal="center"/>
    </xf>
    <xf numFmtId="168" fontId="9" fillId="2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vertical="center"/>
    </xf>
    <xf numFmtId="0" fontId="12" fillId="3" borderId="0" xfId="0" applyFont="1" applyFill="1" applyAlignment="1">
      <alignment horizontal="center"/>
    </xf>
  </cellXfs>
  <cellStyles count="3">
    <cellStyle name="Moeda" xfId="1" builtinId="4"/>
    <cellStyle name="Normal" xfId="0" builtinId="0"/>
    <cellStyle name="Título 2" xfId="2" builtinId="17"/>
  </cellStyles>
  <dxfs count="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40AD96F6-2ED7-4621-ADA2-48A6EFE2E9EA}"/>
  </tableStyles>
  <colors>
    <mruColors>
      <color rgb="FFEE37BF"/>
      <color rgb="FFFCF19E"/>
      <color rgb="FF6124E8"/>
      <color rgb="FF0D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luciano-paiva-b0b01a19b/?lipi=urn%3Ali%3Apage%3Ad_flagship3_profile_view_base_contact_details%3BiBTDJOvaQReumt%2BCq3dnJA%3D%3D" TargetMode="External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itular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luciano-paiva-b0b01a19b/?lipi=urn%3Ali%3Apage%3Ad_flagship3_profile_view_base_contact_details%3BiBTDJOvaQReumt%2BCq3dnJA%3D%3D" TargetMode="External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itular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luciano-paiva-b0b01a19b/?lipi=urn%3Ali%3Apage%3Ad_flagship3_profile_view_base_contact_details%3BiBTDJOvaQReumt%2BCq3dnJA%3D%3D" TargetMode="External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Titul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38100</xdr:rowOff>
    </xdr:from>
    <xdr:to>
      <xdr:col>0</xdr:col>
      <xdr:colOff>1828800</xdr:colOff>
      <xdr:row>20</xdr:row>
      <xdr:rowOff>123825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0700D08-1BD2-1E92-4AA2-2351EDC69A1D}"/>
            </a:ext>
          </a:extLst>
        </xdr:cNvPr>
        <xdr:cNvGrpSpPr/>
      </xdr:nvGrpSpPr>
      <xdr:grpSpPr>
        <a:xfrm>
          <a:off x="47625" y="38100"/>
          <a:ext cx="1781175" cy="4319058"/>
          <a:chOff x="57150" y="57150"/>
          <a:chExt cx="1781175" cy="3895725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5B2ECC02-9BDD-8A5D-4EDB-61B49646B585}"/>
              </a:ext>
            </a:extLst>
          </xdr:cNvPr>
          <xdr:cNvSpPr/>
        </xdr:nvSpPr>
        <xdr:spPr>
          <a:xfrm>
            <a:off x="57150" y="57150"/>
            <a:ext cx="1781175" cy="3895725"/>
          </a:xfrm>
          <a:prstGeom prst="rect">
            <a:avLst/>
          </a:prstGeom>
          <a:solidFill>
            <a:srgbClr val="0D1317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Linkedin_icon" descr="Linkedin Logo Png White PNGs for Free Download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89FE8C3-2247-4B1A-93D9-127AAA49853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3913" y="3505200"/>
            <a:ext cx="247649" cy="2476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595312</xdr:colOff>
      <xdr:row>2</xdr:row>
      <xdr:rowOff>57148</xdr:rowOff>
    </xdr:from>
    <xdr:to>
      <xdr:col>0</xdr:col>
      <xdr:colOff>1319213</xdr:colOff>
      <xdr:row>5</xdr:row>
      <xdr:rowOff>96308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DC5099F9-231A-3909-2203-1FA46006F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" y="581023"/>
          <a:ext cx="723901" cy="723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152399</xdr:colOff>
      <xdr:row>0</xdr:row>
      <xdr:rowOff>104775</xdr:rowOff>
    </xdr:from>
    <xdr:to>
      <xdr:col>0</xdr:col>
      <xdr:colOff>1762125</xdr:colOff>
      <xdr:row>1</xdr:row>
      <xdr:rowOff>285750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3B825A9-48A6-9428-9B8D-C6F934F0A5B1}"/>
            </a:ext>
          </a:extLst>
        </xdr:cNvPr>
        <xdr:cNvSpPr/>
      </xdr:nvSpPr>
      <xdr:spPr>
        <a:xfrm>
          <a:off x="152399" y="104775"/>
          <a:ext cx="1609726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1600" baseline="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APP</a:t>
          </a:r>
          <a:endParaRPr lang="pt-BR" sz="1600">
            <a:gradFill flip="none" rotWithShape="1">
              <a:gsLst>
                <a:gs pos="48400">
                  <a:srgbClr val="EE37BF"/>
                </a:gs>
                <a:gs pos="0">
                  <a:schemeClr val="bg1">
                    <a:lumMod val="95000"/>
                  </a:schemeClr>
                </a:gs>
                <a:gs pos="100000">
                  <a:srgbClr val="6124E8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157163</xdr:colOff>
      <xdr:row>6</xdr:row>
      <xdr:rowOff>166158</xdr:rowOff>
    </xdr:from>
    <xdr:to>
      <xdr:col>0</xdr:col>
      <xdr:colOff>1813163</xdr:colOff>
      <xdr:row>8</xdr:row>
      <xdr:rowOff>126109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85134A-61F9-394F-02D8-AA8326161C96}"/>
            </a:ext>
          </a:extLst>
        </xdr:cNvPr>
        <xdr:cNvSpPr/>
      </xdr:nvSpPr>
      <xdr:spPr>
        <a:xfrm>
          <a:off x="157163" y="1571625"/>
          <a:ext cx="1656000" cy="360000"/>
        </a:xfrm>
        <a:prstGeom prst="roundRect">
          <a:avLst>
            <a:gd name="adj" fmla="val 50000"/>
          </a:avLst>
        </a:prstGeom>
        <a:gradFill>
          <a:gsLst>
            <a:gs pos="0">
              <a:srgbClr val="EE37BF"/>
            </a:gs>
            <a:gs pos="90000">
              <a:srgbClr val="6124E8">
                <a:alpha val="64000"/>
              </a:srgbClr>
            </a:gs>
          </a:gsLst>
          <a:lin ang="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157163</xdr:colOff>
      <xdr:row>9</xdr:row>
      <xdr:rowOff>86254</xdr:rowOff>
    </xdr:from>
    <xdr:to>
      <xdr:col>0</xdr:col>
      <xdr:colOff>1813163</xdr:colOff>
      <xdr:row>11</xdr:row>
      <xdr:rowOff>48322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4B184F-3EE6-4ABD-B69A-E5F5550702F7}"/>
            </a:ext>
          </a:extLst>
        </xdr:cNvPr>
        <xdr:cNvSpPr/>
      </xdr:nvSpPr>
      <xdr:spPr>
        <a:xfrm>
          <a:off x="157163" y="2090738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157163</xdr:colOff>
      <xdr:row>12</xdr:row>
      <xdr:rowOff>8466</xdr:rowOff>
    </xdr:from>
    <xdr:to>
      <xdr:col>0</xdr:col>
      <xdr:colOff>1813163</xdr:colOff>
      <xdr:row>13</xdr:row>
      <xdr:rowOff>169500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FBB1C1A-3573-4DDB-89CA-D5A9A40086D8}"/>
            </a:ext>
          </a:extLst>
        </xdr:cNvPr>
        <xdr:cNvSpPr/>
      </xdr:nvSpPr>
      <xdr:spPr>
        <a:xfrm>
          <a:off x="157163" y="2609850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>
    <xdr:from>
      <xdr:col>0</xdr:col>
      <xdr:colOff>273703</xdr:colOff>
      <xdr:row>16</xdr:row>
      <xdr:rowOff>179295</xdr:rowOff>
    </xdr:from>
    <xdr:to>
      <xdr:col>0</xdr:col>
      <xdr:colOff>1640822</xdr:colOff>
      <xdr:row>18</xdr:row>
      <xdr:rowOff>123266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956C33A-8C3F-5B4A-193A-82BFF7E874C0}"/>
            </a:ext>
          </a:extLst>
        </xdr:cNvPr>
        <xdr:cNvSpPr/>
      </xdr:nvSpPr>
      <xdr:spPr>
        <a:xfrm>
          <a:off x="273703" y="3227295"/>
          <a:ext cx="1367119" cy="324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SYSTEM BY </a:t>
          </a:r>
          <a:r>
            <a:rPr lang="pt-BR" sz="1200" baseline="0"/>
            <a:t>DIO 💜 </a:t>
          </a:r>
          <a:endParaRPr lang="pt-BR" sz="1200"/>
        </a:p>
      </xdr:txBody>
    </xdr:sp>
    <xdr:clientData/>
  </xdr:twoCellAnchor>
  <xdr:twoCellAnchor>
    <xdr:from>
      <xdr:col>0</xdr:col>
      <xdr:colOff>347382</xdr:colOff>
      <xdr:row>16</xdr:row>
      <xdr:rowOff>168088</xdr:rowOff>
    </xdr:from>
    <xdr:to>
      <xdr:col>0</xdr:col>
      <xdr:colOff>1467970</xdr:colOff>
      <xdr:row>16</xdr:row>
      <xdr:rowOff>168088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4885ECDB-0854-7E2B-2131-414A905BDFA5}"/>
            </a:ext>
          </a:extLst>
        </xdr:cNvPr>
        <xdr:cNvCxnSpPr/>
      </xdr:nvCxnSpPr>
      <xdr:spPr>
        <a:xfrm>
          <a:off x="347382" y="3216088"/>
          <a:ext cx="1120588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76200</xdr:rowOff>
    </xdr:from>
    <xdr:to>
      <xdr:col>3</xdr:col>
      <xdr:colOff>9525</xdr:colOff>
      <xdr:row>20</xdr:row>
      <xdr:rowOff>47625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AC2511-D2C2-F2ED-93A5-A4849CF5519D}"/>
            </a:ext>
          </a:extLst>
        </xdr:cNvPr>
        <xdr:cNvSpPr/>
      </xdr:nvSpPr>
      <xdr:spPr>
        <a:xfrm>
          <a:off x="4581525" y="3924300"/>
          <a:ext cx="5162550" cy="3524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cs typeface="Segoe UI" panose="020B0502040204020203" pitchFamily="34" charset="0"/>
            </a:rPr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38100</xdr:rowOff>
    </xdr:from>
    <xdr:to>
      <xdr:col>0</xdr:col>
      <xdr:colOff>1828799</xdr:colOff>
      <xdr:row>20</xdr:row>
      <xdr:rowOff>123825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016DFA0-BEBD-409C-98CD-71AFF41A36C0}"/>
            </a:ext>
          </a:extLst>
        </xdr:cNvPr>
        <xdr:cNvGrpSpPr/>
      </xdr:nvGrpSpPr>
      <xdr:grpSpPr>
        <a:xfrm>
          <a:off x="47624" y="38100"/>
          <a:ext cx="1781175" cy="4319058"/>
          <a:chOff x="57150" y="57150"/>
          <a:chExt cx="1781175" cy="3895725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FC01D29C-406A-0876-49BF-BE0B028257E1}"/>
              </a:ext>
            </a:extLst>
          </xdr:cNvPr>
          <xdr:cNvSpPr/>
        </xdr:nvSpPr>
        <xdr:spPr>
          <a:xfrm>
            <a:off x="57150" y="57150"/>
            <a:ext cx="1781175" cy="3895725"/>
          </a:xfrm>
          <a:prstGeom prst="rect">
            <a:avLst/>
          </a:prstGeom>
          <a:solidFill>
            <a:srgbClr val="0D1317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Linkedin_icon" descr="Linkedin Logo Png White PNGs for Free Download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419B4A-9DD9-0439-94E5-168147766C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3913" y="3505200"/>
            <a:ext cx="247649" cy="2476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595312</xdr:colOff>
      <xdr:row>2</xdr:row>
      <xdr:rowOff>57148</xdr:rowOff>
    </xdr:from>
    <xdr:to>
      <xdr:col>0</xdr:col>
      <xdr:colOff>1319213</xdr:colOff>
      <xdr:row>5</xdr:row>
      <xdr:rowOff>96308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7831D74C-43E5-4B93-A5AA-58FE8E655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" y="581023"/>
          <a:ext cx="723901" cy="723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152399</xdr:colOff>
      <xdr:row>0</xdr:row>
      <xdr:rowOff>104775</xdr:rowOff>
    </xdr:from>
    <xdr:to>
      <xdr:col>0</xdr:col>
      <xdr:colOff>1762125</xdr:colOff>
      <xdr:row>1</xdr:row>
      <xdr:rowOff>285750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4409CFB-AA34-4C1C-BBC8-331F891D75EB}"/>
            </a:ext>
          </a:extLst>
        </xdr:cNvPr>
        <xdr:cNvSpPr/>
      </xdr:nvSpPr>
      <xdr:spPr>
        <a:xfrm>
          <a:off x="152399" y="104775"/>
          <a:ext cx="1609726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1600" baseline="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APP</a:t>
          </a:r>
          <a:endParaRPr lang="pt-BR" sz="1600">
            <a:gradFill flip="none" rotWithShape="1">
              <a:gsLst>
                <a:gs pos="48400">
                  <a:srgbClr val="EE37BF"/>
                </a:gs>
                <a:gs pos="0">
                  <a:schemeClr val="bg1">
                    <a:lumMod val="95000"/>
                  </a:schemeClr>
                </a:gs>
                <a:gs pos="100000">
                  <a:srgbClr val="6124E8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157163</xdr:colOff>
      <xdr:row>6</xdr:row>
      <xdr:rowOff>166158</xdr:rowOff>
    </xdr:from>
    <xdr:to>
      <xdr:col>0</xdr:col>
      <xdr:colOff>1813163</xdr:colOff>
      <xdr:row>8</xdr:row>
      <xdr:rowOff>126109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4F6234-A696-4914-AD1F-ADE499121D40}"/>
            </a:ext>
          </a:extLst>
        </xdr:cNvPr>
        <xdr:cNvSpPr/>
      </xdr:nvSpPr>
      <xdr:spPr>
        <a:xfrm>
          <a:off x="157163" y="1571625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157163</xdr:colOff>
      <xdr:row>9</xdr:row>
      <xdr:rowOff>86254</xdr:rowOff>
    </xdr:from>
    <xdr:to>
      <xdr:col>0</xdr:col>
      <xdr:colOff>1813163</xdr:colOff>
      <xdr:row>11</xdr:row>
      <xdr:rowOff>48322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E03B448-858A-4243-8AF7-DA7082049980}"/>
            </a:ext>
          </a:extLst>
        </xdr:cNvPr>
        <xdr:cNvSpPr/>
      </xdr:nvSpPr>
      <xdr:spPr>
        <a:xfrm>
          <a:off x="157163" y="2090738"/>
          <a:ext cx="1656000" cy="360000"/>
        </a:xfrm>
        <a:prstGeom prst="roundRect">
          <a:avLst>
            <a:gd name="adj" fmla="val 50000"/>
          </a:avLst>
        </a:prstGeom>
        <a:gradFill>
          <a:gsLst>
            <a:gs pos="0">
              <a:srgbClr val="EE37BF"/>
            </a:gs>
            <a:gs pos="90000">
              <a:srgbClr val="6124E8">
                <a:alpha val="64000"/>
              </a:srgbClr>
            </a:gs>
          </a:gsLst>
          <a:lin ang="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157163</xdr:colOff>
      <xdr:row>12</xdr:row>
      <xdr:rowOff>8466</xdr:rowOff>
    </xdr:from>
    <xdr:to>
      <xdr:col>0</xdr:col>
      <xdr:colOff>1813163</xdr:colOff>
      <xdr:row>13</xdr:row>
      <xdr:rowOff>169500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B04BCB-6AA1-4045-9501-EDBD9B5B0625}"/>
            </a:ext>
          </a:extLst>
        </xdr:cNvPr>
        <xdr:cNvSpPr/>
      </xdr:nvSpPr>
      <xdr:spPr>
        <a:xfrm>
          <a:off x="157163" y="2609850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>
    <xdr:from>
      <xdr:col>0</xdr:col>
      <xdr:colOff>273703</xdr:colOff>
      <xdr:row>16</xdr:row>
      <xdr:rowOff>179295</xdr:rowOff>
    </xdr:from>
    <xdr:to>
      <xdr:col>0</xdr:col>
      <xdr:colOff>1640822</xdr:colOff>
      <xdr:row>18</xdr:row>
      <xdr:rowOff>123266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DA4AF34-DA24-4B46-A8C3-0081F09AC143}"/>
            </a:ext>
          </a:extLst>
        </xdr:cNvPr>
        <xdr:cNvSpPr/>
      </xdr:nvSpPr>
      <xdr:spPr>
        <a:xfrm>
          <a:off x="273703" y="3227295"/>
          <a:ext cx="1367119" cy="324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SYSTEM BY </a:t>
          </a:r>
          <a:r>
            <a:rPr lang="pt-BR" sz="1200" baseline="0"/>
            <a:t>DIO 💜 </a:t>
          </a:r>
          <a:endParaRPr lang="pt-BR" sz="1200"/>
        </a:p>
      </xdr:txBody>
    </xdr:sp>
    <xdr:clientData/>
  </xdr:twoCellAnchor>
  <xdr:twoCellAnchor>
    <xdr:from>
      <xdr:col>0</xdr:col>
      <xdr:colOff>347382</xdr:colOff>
      <xdr:row>16</xdr:row>
      <xdr:rowOff>168088</xdr:rowOff>
    </xdr:from>
    <xdr:to>
      <xdr:col>0</xdr:col>
      <xdr:colOff>1467970</xdr:colOff>
      <xdr:row>16</xdr:row>
      <xdr:rowOff>168088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23C43E4D-8C22-42A3-B37E-9D99BDC552DE}"/>
            </a:ext>
          </a:extLst>
        </xdr:cNvPr>
        <xdr:cNvCxnSpPr/>
      </xdr:nvCxnSpPr>
      <xdr:spPr>
        <a:xfrm>
          <a:off x="347382" y="3216088"/>
          <a:ext cx="1120588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76200</xdr:rowOff>
    </xdr:from>
    <xdr:to>
      <xdr:col>3</xdr:col>
      <xdr:colOff>9525</xdr:colOff>
      <xdr:row>20</xdr:row>
      <xdr:rowOff>47625</xdr:rowOff>
    </xdr:to>
    <xdr:sp macro="" textlink="">
      <xdr:nvSpPr>
        <xdr:cNvPr id="23" name="Retângul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F67A966-BCCC-4306-8A3B-2414AE25D7F1}"/>
            </a:ext>
          </a:extLst>
        </xdr:cNvPr>
        <xdr:cNvSpPr/>
      </xdr:nvSpPr>
      <xdr:spPr>
        <a:xfrm>
          <a:off x="4581525" y="3924300"/>
          <a:ext cx="5162550" cy="3524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cs typeface="Segoe UI" panose="020B0502040204020203" pitchFamily="34" charset="0"/>
            </a:rPr>
            <a:t>Próximo</a:t>
          </a:r>
        </a:p>
      </xdr:txBody>
    </xdr:sp>
    <xdr:clientData/>
  </xdr:twoCellAnchor>
  <xdr:twoCellAnchor>
    <xdr:from>
      <xdr:col>1</xdr:col>
      <xdr:colOff>21166</xdr:colOff>
      <xdr:row>18</xdr:row>
      <xdr:rowOff>74083</xdr:rowOff>
    </xdr:from>
    <xdr:to>
      <xdr:col>1</xdr:col>
      <xdr:colOff>3419475</xdr:colOff>
      <xdr:row>20</xdr:row>
      <xdr:rowOff>45508</xdr:rowOff>
    </xdr:to>
    <xdr:sp macro="" textlink="">
      <xdr:nvSpPr>
        <xdr:cNvPr id="24" name="Retângulo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47498C-662C-45A9-94FA-FF49E64D9528}"/>
            </a:ext>
          </a:extLst>
        </xdr:cNvPr>
        <xdr:cNvSpPr/>
      </xdr:nvSpPr>
      <xdr:spPr>
        <a:xfrm>
          <a:off x="2053166" y="3905250"/>
          <a:ext cx="3398309" cy="373591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cs typeface="Segoe UI" panose="020B0502040204020203" pitchFamily="34" charset="0"/>
            </a:rPr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38100</xdr:rowOff>
    </xdr:from>
    <xdr:to>
      <xdr:col>0</xdr:col>
      <xdr:colOff>1828800</xdr:colOff>
      <xdr:row>20</xdr:row>
      <xdr:rowOff>123825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455A9A53-2F01-4D05-8B93-CE08F8A88995}"/>
            </a:ext>
          </a:extLst>
        </xdr:cNvPr>
        <xdr:cNvGrpSpPr/>
      </xdr:nvGrpSpPr>
      <xdr:grpSpPr>
        <a:xfrm>
          <a:off x="47625" y="38100"/>
          <a:ext cx="1781175" cy="4319058"/>
          <a:chOff x="57150" y="57150"/>
          <a:chExt cx="1781175" cy="3895725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4504A50-AF3A-8683-8F64-10A6D1410B33}"/>
              </a:ext>
            </a:extLst>
          </xdr:cNvPr>
          <xdr:cNvSpPr/>
        </xdr:nvSpPr>
        <xdr:spPr>
          <a:xfrm>
            <a:off x="57150" y="57150"/>
            <a:ext cx="1781175" cy="3895725"/>
          </a:xfrm>
          <a:prstGeom prst="rect">
            <a:avLst/>
          </a:prstGeom>
          <a:solidFill>
            <a:srgbClr val="0D1317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Linkedin_icon" descr="Linkedin Logo Png White PNGs for Free Download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5A3C675-3408-F569-C0F1-B3A8DB3EB9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3913" y="3505200"/>
            <a:ext cx="247649" cy="2476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595312</xdr:colOff>
      <xdr:row>2</xdr:row>
      <xdr:rowOff>57148</xdr:rowOff>
    </xdr:from>
    <xdr:to>
      <xdr:col>0</xdr:col>
      <xdr:colOff>1319213</xdr:colOff>
      <xdr:row>5</xdr:row>
      <xdr:rowOff>96308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174A4F11-9621-402E-BB72-D6B9E4993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" y="581023"/>
          <a:ext cx="723901" cy="723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152399</xdr:colOff>
      <xdr:row>0</xdr:row>
      <xdr:rowOff>104775</xdr:rowOff>
    </xdr:from>
    <xdr:to>
      <xdr:col>0</xdr:col>
      <xdr:colOff>1762125</xdr:colOff>
      <xdr:row>1</xdr:row>
      <xdr:rowOff>285750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B981719-6315-4A34-9A76-BEF38372E10F}"/>
            </a:ext>
          </a:extLst>
        </xdr:cNvPr>
        <xdr:cNvSpPr/>
      </xdr:nvSpPr>
      <xdr:spPr>
        <a:xfrm>
          <a:off x="152399" y="104775"/>
          <a:ext cx="1609726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1600" baseline="0">
              <a:gradFill flip="none" rotWithShape="1">
                <a:gsLst>
                  <a:gs pos="48400">
                    <a:srgbClr val="EE37BF"/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APP</a:t>
          </a:r>
          <a:endParaRPr lang="pt-BR" sz="1600">
            <a:gradFill flip="none" rotWithShape="1">
              <a:gsLst>
                <a:gs pos="48400">
                  <a:srgbClr val="EE37BF"/>
                </a:gs>
                <a:gs pos="0">
                  <a:schemeClr val="bg1">
                    <a:lumMod val="95000"/>
                  </a:schemeClr>
                </a:gs>
                <a:gs pos="100000">
                  <a:srgbClr val="6124E8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157163</xdr:colOff>
      <xdr:row>6</xdr:row>
      <xdr:rowOff>166158</xdr:rowOff>
    </xdr:from>
    <xdr:to>
      <xdr:col>0</xdr:col>
      <xdr:colOff>1813163</xdr:colOff>
      <xdr:row>8</xdr:row>
      <xdr:rowOff>126109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080406-74AE-4C62-8D96-AEDF4EA481F2}"/>
            </a:ext>
          </a:extLst>
        </xdr:cNvPr>
        <xdr:cNvSpPr/>
      </xdr:nvSpPr>
      <xdr:spPr>
        <a:xfrm>
          <a:off x="157163" y="1571625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157163</xdr:colOff>
      <xdr:row>9</xdr:row>
      <xdr:rowOff>86254</xdr:rowOff>
    </xdr:from>
    <xdr:to>
      <xdr:col>0</xdr:col>
      <xdr:colOff>1813163</xdr:colOff>
      <xdr:row>11</xdr:row>
      <xdr:rowOff>48322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1ED1455-3839-4355-BEF9-BB00AEF9D8B9}"/>
            </a:ext>
          </a:extLst>
        </xdr:cNvPr>
        <xdr:cNvSpPr/>
      </xdr:nvSpPr>
      <xdr:spPr>
        <a:xfrm>
          <a:off x="157163" y="2090738"/>
          <a:ext cx="1656000" cy="36000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157163</xdr:colOff>
      <xdr:row>12</xdr:row>
      <xdr:rowOff>8466</xdr:rowOff>
    </xdr:from>
    <xdr:to>
      <xdr:col>0</xdr:col>
      <xdr:colOff>1813163</xdr:colOff>
      <xdr:row>13</xdr:row>
      <xdr:rowOff>169500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F5BCF2B-2A26-4E51-90E8-9713060A2879}"/>
            </a:ext>
          </a:extLst>
        </xdr:cNvPr>
        <xdr:cNvSpPr/>
      </xdr:nvSpPr>
      <xdr:spPr>
        <a:xfrm>
          <a:off x="157163" y="2609850"/>
          <a:ext cx="1656000" cy="360000"/>
        </a:xfrm>
        <a:prstGeom prst="roundRect">
          <a:avLst>
            <a:gd name="adj" fmla="val 50000"/>
          </a:avLst>
        </a:prstGeom>
        <a:gradFill>
          <a:gsLst>
            <a:gs pos="0">
              <a:srgbClr val="EE37BF"/>
            </a:gs>
            <a:gs pos="90000">
              <a:srgbClr val="6124E8">
                <a:alpha val="64000"/>
              </a:srgbClr>
            </a:gs>
          </a:gsLst>
          <a:lin ang="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>
    <xdr:from>
      <xdr:col>0</xdr:col>
      <xdr:colOff>273703</xdr:colOff>
      <xdr:row>16</xdr:row>
      <xdr:rowOff>179295</xdr:rowOff>
    </xdr:from>
    <xdr:to>
      <xdr:col>0</xdr:col>
      <xdr:colOff>1640822</xdr:colOff>
      <xdr:row>18</xdr:row>
      <xdr:rowOff>123266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B84EC64-4ED3-410D-9FF3-A94E08755A5B}"/>
            </a:ext>
          </a:extLst>
        </xdr:cNvPr>
        <xdr:cNvSpPr/>
      </xdr:nvSpPr>
      <xdr:spPr>
        <a:xfrm>
          <a:off x="273703" y="3227295"/>
          <a:ext cx="1367119" cy="324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SYSTEM BY </a:t>
          </a:r>
          <a:r>
            <a:rPr lang="pt-BR" sz="1200" baseline="0"/>
            <a:t>DIO 💜 </a:t>
          </a:r>
          <a:endParaRPr lang="pt-BR" sz="1200"/>
        </a:p>
      </xdr:txBody>
    </xdr:sp>
    <xdr:clientData/>
  </xdr:twoCellAnchor>
  <xdr:twoCellAnchor>
    <xdr:from>
      <xdr:col>0</xdr:col>
      <xdr:colOff>347382</xdr:colOff>
      <xdr:row>16</xdr:row>
      <xdr:rowOff>168088</xdr:rowOff>
    </xdr:from>
    <xdr:to>
      <xdr:col>0</xdr:col>
      <xdr:colOff>1467970</xdr:colOff>
      <xdr:row>16</xdr:row>
      <xdr:rowOff>168088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259A464-A04F-413F-9429-1BF50AE50889}"/>
            </a:ext>
          </a:extLst>
        </xdr:cNvPr>
        <xdr:cNvCxnSpPr/>
      </xdr:nvCxnSpPr>
      <xdr:spPr>
        <a:xfrm>
          <a:off x="347382" y="3216088"/>
          <a:ext cx="1120588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20108</xdr:colOff>
      <xdr:row>18</xdr:row>
      <xdr:rowOff>71966</xdr:rowOff>
    </xdr:from>
    <xdr:to>
      <xdr:col>1</xdr:col>
      <xdr:colOff>3418417</xdr:colOff>
      <xdr:row>20</xdr:row>
      <xdr:rowOff>43391</xdr:rowOff>
    </xdr:to>
    <xdr:sp macro="" textlink="">
      <xdr:nvSpPr>
        <xdr:cNvPr id="25" name="Retângul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0E16F7E-7E1A-40DD-815B-25E61E4244C7}"/>
            </a:ext>
          </a:extLst>
        </xdr:cNvPr>
        <xdr:cNvSpPr/>
      </xdr:nvSpPr>
      <xdr:spPr>
        <a:xfrm>
          <a:off x="2052108" y="3903133"/>
          <a:ext cx="3398309" cy="373591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cs typeface="Segoe UI" panose="020B0502040204020203" pitchFamily="34" charset="0"/>
            </a:rPr>
            <a:t>Anterior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93ACD-D299-4B23-98BF-25BC8BB403FB}" name="Tabela2" displayName="Tabela2" ref="B7:D18" totalsRowShown="0">
  <autoFilter ref="B7:D18" xr:uid="{B3993ACD-D299-4B23-98BF-25BC8BB403FB}"/>
  <tableColumns count="3">
    <tableColumn id="1" xr3:uid="{CDBEB1C6-3E6E-4014-89D2-5685933DB461}" name="Data:" dataDxfId="2"/>
    <tableColumn id="2" xr3:uid="{9E6427E8-EB64-48E9-AB7A-0E216DF5AE96}" name="Categoria:" dataDxfId="1"/>
    <tableColumn id="3" xr3:uid="{1905F7D4-8639-4844-BB11-0E9B6B96A883}" name="Valor: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B015F-A175-453B-822F-1E2DBE8391C6}">
  <sheetPr codeName="Planilha1"/>
  <dimension ref="B2:C21"/>
  <sheetViews>
    <sheetView showGridLines="0" tabSelected="1" zoomScale="90" zoomScaleNormal="90" workbookViewId="0">
      <selection activeCell="B20" sqref="B20"/>
    </sheetView>
  </sheetViews>
  <sheetFormatPr defaultRowHeight="15" x14ac:dyDescent="0.25"/>
  <cols>
    <col min="1" max="1" width="30.42578125" customWidth="1"/>
    <col min="2" max="3" width="51.7109375" customWidth="1"/>
  </cols>
  <sheetData>
    <row r="2" spans="2:3" ht="26.25" thickBot="1" x14ac:dyDescent="0.55000000000000004">
      <c r="B2" s="3" t="s">
        <v>12</v>
      </c>
      <c r="C2" s="4"/>
    </row>
    <row r="3" spans="2:3" ht="22.5" customHeight="1" thickTop="1" x14ac:dyDescent="0.25">
      <c r="B3" s="21" t="s">
        <v>13</v>
      </c>
      <c r="C3" s="21"/>
    </row>
    <row r="4" spans="2:3" ht="15.75" customHeight="1" x14ac:dyDescent="0.25"/>
    <row r="5" spans="2:3" ht="15.75" customHeight="1" x14ac:dyDescent="0.3">
      <c r="B5" s="2" t="s">
        <v>0</v>
      </c>
      <c r="C5" s="1" t="s">
        <v>59</v>
      </c>
    </row>
    <row r="6" spans="2:3" ht="15.75" customHeight="1" x14ac:dyDescent="0.3">
      <c r="B6" s="2" t="s">
        <v>1</v>
      </c>
      <c r="C6" s="5">
        <v>12345678900</v>
      </c>
    </row>
    <row r="7" spans="2:3" ht="15.75" customHeight="1" x14ac:dyDescent="0.3">
      <c r="B7" s="2" t="s">
        <v>2</v>
      </c>
      <c r="C7" s="6">
        <v>1012001</v>
      </c>
    </row>
    <row r="8" spans="2:3" ht="15.75" customHeight="1" x14ac:dyDescent="0.3">
      <c r="B8" s="2" t="s">
        <v>3</v>
      </c>
      <c r="C8" s="8">
        <v>111222</v>
      </c>
    </row>
    <row r="9" spans="2:3" ht="15.75" customHeight="1" x14ac:dyDescent="0.3">
      <c r="B9" s="2" t="s">
        <v>4</v>
      </c>
      <c r="C9" s="1"/>
    </row>
    <row r="10" spans="2:3" ht="15.75" customHeight="1" x14ac:dyDescent="0.3">
      <c r="B10" s="2" t="s">
        <v>5</v>
      </c>
      <c r="C10" s="1" t="s">
        <v>58</v>
      </c>
    </row>
    <row r="11" spans="2:3" ht="15.75" customHeight="1" x14ac:dyDescent="0.3">
      <c r="B11" s="2" t="s">
        <v>6</v>
      </c>
      <c r="C11" s="1"/>
    </row>
    <row r="12" spans="2:3" ht="15.75" customHeight="1" x14ac:dyDescent="0.3">
      <c r="B12" s="2" t="s">
        <v>7</v>
      </c>
      <c r="C12" s="7">
        <v>12000000</v>
      </c>
    </row>
    <row r="13" spans="2:3" ht="15.75" customHeight="1" x14ac:dyDescent="0.3">
      <c r="B13" s="2" t="s">
        <v>8</v>
      </c>
      <c r="C13" s="9"/>
    </row>
    <row r="14" spans="2:3" ht="15.75" customHeight="1" x14ac:dyDescent="0.3">
      <c r="B14" s="2" t="s">
        <v>16</v>
      </c>
      <c r="C14" s="9">
        <v>111111111</v>
      </c>
    </row>
    <row r="15" spans="2:3" ht="15.75" customHeight="1" x14ac:dyDescent="0.3">
      <c r="B15" s="2" t="s">
        <v>9</v>
      </c>
      <c r="C15" s="1" t="s">
        <v>60</v>
      </c>
    </row>
    <row r="16" spans="2:3" ht="15.75" customHeight="1" x14ac:dyDescent="0.3">
      <c r="B16" s="2" t="s">
        <v>10</v>
      </c>
      <c r="C16" s="1" t="s">
        <v>15</v>
      </c>
    </row>
    <row r="17" spans="2:3" ht="15.75" customHeight="1" x14ac:dyDescent="0.3">
      <c r="B17" s="2" t="s">
        <v>11</v>
      </c>
      <c r="C17" s="1" t="s">
        <v>15</v>
      </c>
    </row>
    <row r="18" spans="2:3" ht="15.75" customHeight="1" x14ac:dyDescent="0.3">
      <c r="B18" s="2" t="s">
        <v>14</v>
      </c>
      <c r="C18" s="1" t="s">
        <v>15</v>
      </c>
    </row>
    <row r="19" spans="2:3" ht="15.75" customHeight="1" x14ac:dyDescent="0.25"/>
    <row r="20" spans="2:3" ht="15.75" customHeight="1" x14ac:dyDescent="0.25"/>
    <row r="21" spans="2:3" ht="15.75" customHeight="1" x14ac:dyDescent="0.25"/>
  </sheetData>
  <mergeCells count="1">
    <mergeCell ref="B3:C3"/>
  </mergeCells>
  <dataValidations count="1">
    <dataValidation type="list" allowBlank="1" showInputMessage="1" showErrorMessage="1" sqref="C16:C18" xr:uid="{5C4ACA7D-B095-44FB-8EA8-F825693CAF6E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449B0-C7B9-4A0A-A2A9-742AC462560C}">
  <sheetPr codeName="Planilha2"/>
  <dimension ref="B2:C21"/>
  <sheetViews>
    <sheetView showGridLines="0" zoomScale="90" zoomScaleNormal="90" workbookViewId="0"/>
  </sheetViews>
  <sheetFormatPr defaultRowHeight="15" x14ac:dyDescent="0.25"/>
  <cols>
    <col min="1" max="1" width="30.42578125" customWidth="1"/>
    <col min="2" max="3" width="51.7109375" customWidth="1"/>
  </cols>
  <sheetData>
    <row r="2" spans="2:3" ht="26.25" thickBot="1" x14ac:dyDescent="0.55000000000000004">
      <c r="B2" s="3" t="s">
        <v>17</v>
      </c>
      <c r="C2" s="4"/>
    </row>
    <row r="3" spans="2:3" ht="22.5" customHeight="1" thickTop="1" x14ac:dyDescent="0.25">
      <c r="B3" s="21" t="s">
        <v>18</v>
      </c>
      <c r="C3" s="21"/>
    </row>
    <row r="4" spans="2:3" ht="15.75" customHeight="1" x14ac:dyDescent="0.25"/>
    <row r="5" spans="2:3" ht="15.75" customHeight="1" x14ac:dyDescent="0.3">
      <c r="B5" s="15" t="s">
        <v>49</v>
      </c>
    </row>
    <row r="6" spans="2:3" ht="15.75" customHeight="1" x14ac:dyDescent="0.25">
      <c r="B6" s="22">
        <f>SUM(C9,C13,C17)</f>
        <v>1000000</v>
      </c>
      <c r="C6" s="23"/>
    </row>
    <row r="7" spans="2:3" ht="15.75" customHeight="1" x14ac:dyDescent="0.3">
      <c r="B7" s="11" t="s">
        <v>46</v>
      </c>
    </row>
    <row r="8" spans="2:3" ht="15.75" customHeight="1" x14ac:dyDescent="0.3">
      <c r="B8" s="2" t="s">
        <v>0</v>
      </c>
      <c r="C8" s="12" t="s">
        <v>36</v>
      </c>
    </row>
    <row r="9" spans="2:3" ht="15.75" customHeight="1" x14ac:dyDescent="0.3">
      <c r="B9" s="2" t="s">
        <v>19</v>
      </c>
      <c r="C9" s="13">
        <v>500000</v>
      </c>
    </row>
    <row r="10" spans="2:3" ht="15.75" customHeight="1" x14ac:dyDescent="0.3">
      <c r="B10" s="2" t="s">
        <v>20</v>
      </c>
      <c r="C10" s="14">
        <v>15031975</v>
      </c>
    </row>
    <row r="11" spans="2:3" ht="15.75" customHeight="1" x14ac:dyDescent="0.3">
      <c r="B11" s="11" t="s">
        <v>47</v>
      </c>
    </row>
    <row r="12" spans="2:3" ht="15.75" customHeight="1" x14ac:dyDescent="0.3">
      <c r="B12" s="2" t="s">
        <v>0</v>
      </c>
      <c r="C12" s="12" t="s">
        <v>31</v>
      </c>
    </row>
    <row r="13" spans="2:3" ht="15.75" customHeight="1" x14ac:dyDescent="0.3">
      <c r="B13" s="2" t="s">
        <v>19</v>
      </c>
      <c r="C13" s="13">
        <v>500000</v>
      </c>
    </row>
    <row r="14" spans="2:3" ht="15.75" customHeight="1" x14ac:dyDescent="0.3">
      <c r="B14" s="2" t="s">
        <v>20</v>
      </c>
      <c r="C14" s="20">
        <v>369852447</v>
      </c>
    </row>
    <row r="15" spans="2:3" ht="15.75" customHeight="1" x14ac:dyDescent="0.3">
      <c r="B15" s="11" t="s">
        <v>48</v>
      </c>
    </row>
    <row r="16" spans="2:3" ht="15.75" customHeight="1" x14ac:dyDescent="0.3">
      <c r="B16" s="2" t="s">
        <v>0</v>
      </c>
      <c r="C16" s="12"/>
    </row>
    <row r="17" spans="2:3" ht="15.75" customHeight="1" x14ac:dyDescent="0.3">
      <c r="B17" s="2" t="s">
        <v>19</v>
      </c>
      <c r="C17" s="13"/>
    </row>
    <row r="18" spans="2:3" ht="15.75" customHeight="1" x14ac:dyDescent="0.3">
      <c r="B18" s="2" t="s">
        <v>20</v>
      </c>
      <c r="C18" s="14"/>
    </row>
    <row r="19" spans="2:3" ht="15.75" customHeight="1" x14ac:dyDescent="0.25"/>
    <row r="20" spans="2:3" ht="15.75" customHeight="1" x14ac:dyDescent="0.25"/>
    <row r="21" spans="2:3" ht="15.75" customHeight="1" x14ac:dyDescent="0.25"/>
  </sheetData>
  <mergeCells count="2">
    <mergeCell ref="B3:C3"/>
    <mergeCell ref="B6:C6"/>
  </mergeCells>
  <dataValidations count="1">
    <dataValidation type="list" allowBlank="1" showInputMessage="1" showErrorMessage="1" errorTitle="Erro!" error="Banco não encontrado!" promptTitle="Informe o Banco!" sqref="C8 C12 C16" xr:uid="{392F0A74-41B2-4632-9450-250DE8F89F5C}">
      <formula1>bancos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FF4C-1605-4566-A377-6352DD309532}">
  <sheetPr codeName="Planilha3"/>
  <dimension ref="B2:D21"/>
  <sheetViews>
    <sheetView showGridLines="0" zoomScale="90" zoomScaleNormal="90" workbookViewId="0"/>
  </sheetViews>
  <sheetFormatPr defaultRowHeight="15" x14ac:dyDescent="0.25"/>
  <cols>
    <col min="1" max="1" width="30.42578125" customWidth="1"/>
    <col min="2" max="2" width="31.7109375" customWidth="1"/>
    <col min="3" max="3" width="51.7109375" customWidth="1"/>
    <col min="4" max="4" width="20.7109375" customWidth="1"/>
  </cols>
  <sheetData>
    <row r="2" spans="2:4" ht="26.25" customHeight="1" thickBot="1" x14ac:dyDescent="0.55000000000000004">
      <c r="B2" s="3" t="s">
        <v>50</v>
      </c>
      <c r="C2" s="16"/>
      <c r="D2" s="16"/>
    </row>
    <row r="3" spans="2:4" ht="22.5" customHeight="1" thickTop="1" x14ac:dyDescent="0.25">
      <c r="B3" s="24" t="s">
        <v>51</v>
      </c>
      <c r="C3" s="24"/>
      <c r="D3" s="24"/>
    </row>
    <row r="4" spans="2:4" ht="15.75" customHeight="1" x14ac:dyDescent="0.25"/>
    <row r="5" spans="2:4" ht="15.75" customHeight="1" x14ac:dyDescent="0.25"/>
    <row r="6" spans="2:4" ht="15.75" customHeight="1" x14ac:dyDescent="0.3">
      <c r="B6" s="25" t="s">
        <v>55</v>
      </c>
      <c r="C6" s="25"/>
      <c r="D6" s="25"/>
    </row>
    <row r="7" spans="2:4" ht="15.75" customHeight="1" x14ac:dyDescent="0.25">
      <c r="B7" t="s">
        <v>52</v>
      </c>
      <c r="C7" t="s">
        <v>54</v>
      </c>
      <c r="D7" t="s">
        <v>53</v>
      </c>
    </row>
    <row r="8" spans="2:4" ht="15.75" customHeight="1" x14ac:dyDescent="0.25">
      <c r="B8" s="17">
        <v>46065</v>
      </c>
      <c r="C8" s="18" t="s">
        <v>56</v>
      </c>
      <c r="D8" s="19">
        <v>5000</v>
      </c>
    </row>
    <row r="9" spans="2:4" ht="15.75" customHeight="1" x14ac:dyDescent="0.25">
      <c r="B9" s="17">
        <v>46065</v>
      </c>
      <c r="C9" s="18" t="s">
        <v>57</v>
      </c>
      <c r="D9" s="19">
        <v>1850</v>
      </c>
    </row>
    <row r="10" spans="2:4" ht="15.75" customHeight="1" x14ac:dyDescent="0.25">
      <c r="B10" s="18"/>
      <c r="C10" s="18"/>
      <c r="D10" s="18"/>
    </row>
    <row r="11" spans="2:4" ht="15.75" customHeight="1" x14ac:dyDescent="0.25">
      <c r="B11" s="18"/>
      <c r="C11" s="18"/>
      <c r="D11" s="18"/>
    </row>
    <row r="12" spans="2:4" ht="15.75" customHeight="1" x14ac:dyDescent="0.25">
      <c r="B12" s="18"/>
      <c r="C12" s="18"/>
      <c r="D12" s="18"/>
    </row>
    <row r="13" spans="2:4" ht="15.75" customHeight="1" x14ac:dyDescent="0.25">
      <c r="B13" s="18"/>
      <c r="C13" s="18"/>
      <c r="D13" s="18"/>
    </row>
    <row r="14" spans="2:4" ht="15.75" customHeight="1" x14ac:dyDescent="0.25">
      <c r="B14" s="18"/>
      <c r="C14" s="18"/>
      <c r="D14" s="18"/>
    </row>
    <row r="15" spans="2:4" ht="15.75" customHeight="1" x14ac:dyDescent="0.25">
      <c r="B15" s="18"/>
      <c r="C15" s="18"/>
      <c r="D15" s="18"/>
    </row>
    <row r="16" spans="2:4" ht="15.75" customHeight="1" x14ac:dyDescent="0.25">
      <c r="B16" s="18"/>
      <c r="C16" s="18"/>
      <c r="D16" s="18"/>
    </row>
    <row r="17" spans="2:4" ht="15.75" customHeight="1" x14ac:dyDescent="0.25">
      <c r="B17" s="18"/>
      <c r="C17" s="18"/>
      <c r="D17" s="18"/>
    </row>
    <row r="18" spans="2:4" ht="15.75" customHeight="1" x14ac:dyDescent="0.25">
      <c r="B18" s="18"/>
      <c r="C18" s="18"/>
      <c r="D18" s="18"/>
    </row>
    <row r="19" spans="2:4" ht="15.75" customHeight="1" x14ac:dyDescent="0.25"/>
    <row r="20" spans="2:4" ht="15.75" customHeight="1" x14ac:dyDescent="0.25"/>
    <row r="21" spans="2:4" ht="15.75" customHeight="1" x14ac:dyDescent="0.25"/>
  </sheetData>
  <mergeCells count="2">
    <mergeCell ref="B3:D3"/>
    <mergeCell ref="B6:D6"/>
  </mergeCells>
  <dataValidations count="1">
    <dataValidation type="list" allowBlank="1" showInputMessage="1" showErrorMessage="1" sqref="C8:C9" xr:uid="{CE527EA6-E052-40BD-9B89-FE17684A98C6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C953-8A19-422A-B519-63CD962D225A}">
  <dimension ref="A1:A25"/>
  <sheetViews>
    <sheetView topLeftCell="A2" workbookViewId="0">
      <selection activeCell="G16" sqref="G16"/>
    </sheetView>
  </sheetViews>
  <sheetFormatPr defaultRowHeight="15" x14ac:dyDescent="0.25"/>
  <cols>
    <col min="1" max="1" width="40.5703125" bestFit="1" customWidth="1"/>
  </cols>
  <sheetData>
    <row r="1" spans="1:1" x14ac:dyDescent="0.25">
      <c r="A1" s="10" t="s">
        <v>41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42</v>
      </c>
    </row>
    <row r="23" spans="1:1" x14ac:dyDescent="0.25">
      <c r="A23" t="s">
        <v>43</v>
      </c>
    </row>
    <row r="24" spans="1:1" x14ac:dyDescent="0.25">
      <c r="A24" t="s">
        <v>44</v>
      </c>
    </row>
    <row r="25" spans="1:1" x14ac:dyDescent="0.25">
      <c r="A25" t="s">
        <v>45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Titular</vt:lpstr>
      <vt:lpstr>INFORMES</vt:lpstr>
      <vt:lpstr>NOTAS</vt:lpstr>
      <vt:lpstr>Planilha4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Paiva</dc:creator>
  <cp:lastModifiedBy>Luciano Paiva</cp:lastModifiedBy>
  <dcterms:created xsi:type="dcterms:W3CDTF">2026-02-13T13:55:41Z</dcterms:created>
  <dcterms:modified xsi:type="dcterms:W3CDTF">2026-02-14T19:41:39Z</dcterms:modified>
</cp:coreProperties>
</file>